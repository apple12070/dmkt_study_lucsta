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e926aeec5357a/Desktop/"/>
    </mc:Choice>
  </mc:AlternateContent>
  <xr:revisionPtr revIDLastSave="1" documentId="8_{8D3EAF5B-290D-4BA6-96B5-279DBF3A7ADA}" xr6:coauthVersionLast="47" xr6:coauthVersionMax="47" xr10:uidLastSave="{38E9578A-3BD2-4553-B4BE-AB654E83B390}"/>
  <bookViews>
    <workbookView xWindow="-108" yWindow="-108" windowWidth="23256" windowHeight="12456" activeTab="2" xr2:uid="{1865E93D-6B1F-4BF8-8FA1-D29FD0F8EEB5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2" l="1"/>
  <c r="O5" i="2"/>
  <c r="Q5" i="2" s="1"/>
</calcChain>
</file>

<file path=xl/sharedStrings.xml><?xml version="1.0" encoding="utf-8"?>
<sst xmlns="http://schemas.openxmlformats.org/spreadsheetml/2006/main" count="111" uniqueCount="98">
  <si>
    <t>즐겨찾기</t>
    <phoneticPr fontId="1" type="noConversion"/>
  </si>
  <si>
    <t>직접 타이핑</t>
    <phoneticPr fontId="1" type="noConversion"/>
  </si>
  <si>
    <t>naver</t>
    <phoneticPr fontId="1" type="noConversion"/>
  </si>
  <si>
    <t>google</t>
  </si>
  <si>
    <t>google</t>
    <phoneticPr fontId="1" type="noConversion"/>
  </si>
  <si>
    <t>bing</t>
    <phoneticPr fontId="1" type="noConversion"/>
  </si>
  <si>
    <t>zum</t>
    <phoneticPr fontId="1" type="noConversion"/>
  </si>
  <si>
    <t>instagram</t>
    <phoneticPr fontId="1" type="noConversion"/>
  </si>
  <si>
    <t>facebook</t>
    <phoneticPr fontId="1" type="noConversion"/>
  </si>
  <si>
    <t>twitter</t>
    <phoneticPr fontId="1" type="noConversion"/>
  </si>
  <si>
    <t>youtube</t>
    <phoneticPr fontId="1" type="noConversion"/>
  </si>
  <si>
    <t>email</t>
    <phoneticPr fontId="1" type="noConversion"/>
  </si>
  <si>
    <t>는</t>
    <phoneticPr fontId="1" type="noConversion"/>
  </si>
  <si>
    <t>app push</t>
    <phoneticPr fontId="1" type="noConversion"/>
  </si>
  <si>
    <t>Search</t>
    <phoneticPr fontId="1" type="noConversion"/>
  </si>
  <si>
    <t>Social</t>
    <phoneticPr fontId="1" type="noConversion"/>
  </si>
  <si>
    <t>Paid</t>
    <phoneticPr fontId="1" type="noConversion"/>
  </si>
  <si>
    <t>Organic 
(비용이 들어가지 않은 순수한 컨텐츠)</t>
    <phoneticPr fontId="1" type="noConversion"/>
  </si>
  <si>
    <t>Organic Search</t>
    <phoneticPr fontId="1" type="noConversion"/>
  </si>
  <si>
    <t>Paid Search</t>
    <phoneticPr fontId="1" type="noConversion"/>
  </si>
  <si>
    <t>Organic</t>
    <phoneticPr fontId="1" type="noConversion"/>
  </si>
  <si>
    <t>Paid Social</t>
    <phoneticPr fontId="1" type="noConversion"/>
  </si>
  <si>
    <t>Organic Social</t>
    <phoneticPr fontId="1" type="noConversion"/>
  </si>
  <si>
    <t>Paid
(비용 지불 - 광고 등)</t>
    <phoneticPr fontId="1" type="noConversion"/>
  </si>
  <si>
    <t>유입 경로 채널</t>
    <phoneticPr fontId="1" type="noConversion"/>
  </si>
  <si>
    <t>Direct</t>
    <phoneticPr fontId="1" type="noConversion"/>
  </si>
  <si>
    <t>소스</t>
    <phoneticPr fontId="1" type="noConversion"/>
  </si>
  <si>
    <t>매체</t>
    <phoneticPr fontId="1" type="noConversion"/>
  </si>
  <si>
    <t>소스
(플랫폼 / where)</t>
    <phoneticPr fontId="1" type="noConversion"/>
  </si>
  <si>
    <t>매체
(how)</t>
    <phoneticPr fontId="1" type="noConversion"/>
  </si>
  <si>
    <t>-&gt; 주요 이벤트 : 모든 이벤트</t>
    <phoneticPr fontId="1" type="noConversion"/>
  </si>
  <si>
    <t>-&gt; 주요 이벤트 : purchase</t>
    <phoneticPr fontId="1" type="noConversion"/>
  </si>
  <si>
    <t>세션 기본 채널 그룹 (세션 기본 채널 그룹)</t>
    <phoneticPr fontId="1" type="noConversion"/>
  </si>
  <si>
    <t>Organic Video</t>
    <phoneticPr fontId="1" type="noConversion"/>
  </si>
  <si>
    <t>Paid Video</t>
    <phoneticPr fontId="1" type="noConversion"/>
  </si>
  <si>
    <t>세션 기본 채널 그룹</t>
    <phoneticPr fontId="1" type="noConversion"/>
  </si>
  <si>
    <t>소스 (Source)</t>
    <phoneticPr fontId="1" type="noConversion"/>
  </si>
  <si>
    <t>매체 (Medium)</t>
    <phoneticPr fontId="1" type="noConversion"/>
  </si>
  <si>
    <t>search</t>
  </si>
  <si>
    <t>search</t>
    <phoneticPr fontId="1" type="noConversion"/>
  </si>
  <si>
    <t>광고매체</t>
    <phoneticPr fontId="1" type="noConversion"/>
  </si>
  <si>
    <t>매체 종류</t>
    <phoneticPr fontId="1" type="noConversion"/>
  </si>
  <si>
    <t>캠페인 (Campaign)</t>
    <phoneticPr fontId="1" type="noConversion"/>
  </si>
  <si>
    <t>캠페인명</t>
    <phoneticPr fontId="1" type="noConversion"/>
  </si>
  <si>
    <t>2025_fall_PC</t>
  </si>
  <si>
    <t>2025_fall_PC</t>
    <phoneticPr fontId="1" type="noConversion"/>
  </si>
  <si>
    <t>컨텐츠 (Contents)</t>
    <phoneticPr fontId="1" type="noConversion"/>
  </si>
  <si>
    <t>product_event</t>
  </si>
  <si>
    <t>product_event</t>
    <phoneticPr fontId="1" type="noConversion"/>
  </si>
  <si>
    <t>설명</t>
    <phoneticPr fontId="1" type="noConversion"/>
  </si>
  <si>
    <t>No</t>
    <phoneticPr fontId="1" type="noConversion"/>
  </si>
  <si>
    <t>웹사이트 URL</t>
    <phoneticPr fontId="1" type="noConversion"/>
  </si>
  <si>
    <t>https://apple12070.cafe24.com</t>
    <phoneticPr fontId="1" type="noConversion"/>
  </si>
  <si>
    <t>캠페인</t>
    <phoneticPr fontId="1" type="noConversion"/>
  </si>
  <si>
    <t>컨텐츠</t>
    <phoneticPr fontId="1" type="noConversion"/>
  </si>
  <si>
    <t>키워드</t>
    <phoneticPr fontId="1" type="noConversion"/>
  </si>
  <si>
    <t>컨텐츠 타입
캠페인 소재 위치</t>
    <phoneticPr fontId="1" type="noConversion"/>
  </si>
  <si>
    <t>kakao</t>
    <phoneticPr fontId="1" type="noConversion"/>
  </si>
  <si>
    <t>display</t>
    <phoneticPr fontId="1" type="noConversion"/>
  </si>
  <si>
    <t>banner</t>
    <phoneticPr fontId="1" type="noConversion"/>
  </si>
  <si>
    <t>컨텐츠 유무</t>
    <phoneticPr fontId="1" type="noConversion"/>
  </si>
  <si>
    <t>키워드 유무</t>
    <phoneticPr fontId="1" type="noConversion"/>
  </si>
  <si>
    <t>UTM URL</t>
    <phoneticPr fontId="1" type="noConversion"/>
  </si>
  <si>
    <t>musinsa</t>
    <phoneticPr fontId="1" type="noConversion"/>
  </si>
  <si>
    <t>URL shorten</t>
    <phoneticPr fontId="1" type="noConversion"/>
  </si>
  <si>
    <t>https://shorturl.at/Q25SM</t>
  </si>
  <si>
    <t>✅ UTM URL Builder</t>
    <phoneticPr fontId="1" type="noConversion"/>
  </si>
  <si>
    <t>-&gt; 사용자 획득</t>
    <phoneticPr fontId="1" type="noConversion"/>
  </si>
  <si>
    <t>-&gt; 트래픽 획득</t>
    <phoneticPr fontId="1" type="noConversion"/>
  </si>
  <si>
    <t>A</t>
    <phoneticPr fontId="1" type="noConversion"/>
  </si>
  <si>
    <t>Conversion(전환/구매)</t>
    <phoneticPr fontId="1" type="noConversion"/>
  </si>
  <si>
    <t>사용자 획득</t>
    <phoneticPr fontId="1" type="noConversion"/>
  </si>
  <si>
    <t>트래픽 획득</t>
    <phoneticPr fontId="1" type="noConversion"/>
  </si>
  <si>
    <t xml:space="preserve">Direct </t>
    <phoneticPr fontId="1" type="noConversion"/>
  </si>
  <si>
    <t xml:space="preserve">과도하게 많다!!! </t>
    <phoneticPr fontId="1" type="noConversion"/>
  </si>
  <si>
    <t>- 성별 / 연령</t>
    <phoneticPr fontId="1" type="noConversion"/>
  </si>
  <si>
    <t>- 언어 / 지역</t>
    <phoneticPr fontId="1" type="noConversion"/>
  </si>
  <si>
    <t>*GA4에서 확인 가능한 기본 정보</t>
    <phoneticPr fontId="1" type="noConversion"/>
  </si>
  <si>
    <t>1. 방문자 관련 정보</t>
    <phoneticPr fontId="1" type="noConversion"/>
  </si>
  <si>
    <t>- 사용기기</t>
    <phoneticPr fontId="1" type="noConversion"/>
  </si>
  <si>
    <t>- 브라우저</t>
    <phoneticPr fontId="1" type="noConversion"/>
  </si>
  <si>
    <t>- 운영체제</t>
    <phoneticPr fontId="1" type="noConversion"/>
  </si>
  <si>
    <t>2. 트래픽</t>
    <phoneticPr fontId="1" type="noConversion"/>
  </si>
  <si>
    <t>- 유입검색채널</t>
    <phoneticPr fontId="1" type="noConversion"/>
  </si>
  <si>
    <t>3. 행동</t>
    <phoneticPr fontId="1" type="noConversion"/>
  </si>
  <si>
    <t>- 페이지 조회</t>
    <phoneticPr fontId="1" type="noConversion"/>
  </si>
  <si>
    <t>- 페이지 이동</t>
    <phoneticPr fontId="1" type="noConversion"/>
  </si>
  <si>
    <t>- * 클릭 (*표시가 붙은건 GA가 기본적으로 제공해주지 않음!)</t>
    <phoneticPr fontId="1" type="noConversion"/>
  </si>
  <si>
    <t>- * 스크롤</t>
    <phoneticPr fontId="1" type="noConversion"/>
  </si>
  <si>
    <t>4. 전환</t>
    <phoneticPr fontId="1" type="noConversion"/>
  </si>
  <si>
    <t>- * 구매</t>
    <phoneticPr fontId="1" type="noConversion"/>
  </si>
  <si>
    <t>- * 장바구니</t>
    <phoneticPr fontId="1" type="noConversion"/>
  </si>
  <si>
    <t>- * 회원가입</t>
    <phoneticPr fontId="1" type="noConversion"/>
  </si>
  <si>
    <t>- * 상담신청</t>
    <phoneticPr fontId="1" type="noConversion"/>
  </si>
  <si>
    <t>- * 구독결제</t>
    <phoneticPr fontId="1" type="noConversion"/>
  </si>
  <si>
    <t xml:space="preserve">이 모든 것을 다 "이벤트"라고 부른다!!! </t>
    <phoneticPr fontId="1" type="noConversion"/>
  </si>
  <si>
    <t>이벤트 = 사용자의 행동</t>
    <phoneticPr fontId="1" type="noConversion"/>
  </si>
  <si>
    <t>(ex - 페이지뷰, 클릭, 스크롤, 동영상 조회)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</si>
</sst>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331470</xdr:colOff>
      <xdr:row>3</xdr:row>
      <xdr:rowOff>236220</xdr:rowOff>
    </xdr:from>
    <xdr:to>
      <xdr:col>13</xdr:col>
      <xdr:colOff>250847</xdr:colOff>
      <xdr:row>11</xdr:row>
      <xdr:rowOff>17145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57570D-EA20-65D2-EA67-FF73D06CF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8020" y="1826895"/>
          <a:ext cx="3201692" cy="3830955"/>
        </a:xfrm>
        <a:prstGeom prst="rect">
          <a:avLst/>
        </a:prstGeom>
      </xdr:spPr>
    </xdr:pic>
    <xdr:clientData/>
  </xdr:twoCellAnchor>
  <xdr:twoCellAnchor editAs="oneCell">
    <xdr:from>
      <xdr:col>5</xdr:col>
      <xdr:colOff>55246</xdr:colOff>
      <xdr:row>3</xdr:row>
      <xdr:rowOff>430530</xdr:rowOff>
    </xdr:from>
    <xdr:to>
      <xdr:col>8</xdr:col>
      <xdr:colOff>57497</xdr:colOff>
      <xdr:row>10</xdr:row>
      <xdr:rowOff>474345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E5EF4D-816C-0C01-8481-B9E62C55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5621" y="2021205"/>
          <a:ext cx="3989416" cy="3589020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</xdr:colOff>
      <xdr:row>18</xdr:row>
      <xdr:rowOff>87631</xdr:rowOff>
    </xdr:from>
    <xdr:to>
      <xdr:col>6</xdr:col>
      <xdr:colOff>495300</xdr:colOff>
      <xdr:row>24</xdr:row>
      <xdr:rowOff>441650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59760BC-1925-698A-8781-C2C2333AD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6905" y="9250681"/>
          <a:ext cx="2817495" cy="3392494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17</xdr:row>
      <xdr:rowOff>445770</xdr:rowOff>
    </xdr:from>
    <xdr:to>
      <xdr:col>9</xdr:col>
      <xdr:colOff>320292</xdr:colOff>
      <xdr:row>25</xdr:row>
      <xdr:rowOff>19050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D7F7031-209C-5EBE-0957-73FDE65BA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6800" y="9103995"/>
          <a:ext cx="3271137" cy="361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le12070.cafe2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8200-6237-42DF-8040-B94700EE4BF0}">
  <dimension ref="B1:K33"/>
  <sheetViews>
    <sheetView workbookViewId="0">
      <selection activeCell="G35" sqref="G35"/>
    </sheetView>
  </sheetViews>
  <sheetFormatPr defaultColWidth="10.69921875" defaultRowHeight="40.049999999999997" customHeight="1" x14ac:dyDescent="0.4"/>
  <cols>
    <col min="1" max="1" width="10.69921875" style="1"/>
    <col min="2" max="2" width="12.796875" style="1" customWidth="1"/>
    <col min="3" max="3" width="15" style="1" customWidth="1"/>
    <col min="4" max="4" width="35.8984375" style="1" bestFit="1" customWidth="1"/>
    <col min="5" max="5" width="15" style="1" bestFit="1" customWidth="1"/>
    <col min="6" max="6" width="16.09765625" style="1" bestFit="1" customWidth="1"/>
    <col min="7" max="7" width="14.69921875" style="1" customWidth="1"/>
    <col min="8" max="8" width="21.59765625" style="1" bestFit="1" customWidth="1"/>
    <col min="9" max="16384" width="10.69921875" style="1"/>
  </cols>
  <sheetData>
    <row r="1" spans="2:11" ht="45.6" customHeight="1" x14ac:dyDescent="0.4">
      <c r="E1" s="1" t="s">
        <v>24</v>
      </c>
      <c r="F1" s="3" t="s">
        <v>28</v>
      </c>
      <c r="G1" s="3" t="s">
        <v>29</v>
      </c>
    </row>
    <row r="2" spans="2:11" ht="40.049999999999997" customHeight="1" x14ac:dyDescent="0.4">
      <c r="B2" s="5" t="s">
        <v>0</v>
      </c>
      <c r="E2" s="1" t="s">
        <v>25</v>
      </c>
    </row>
    <row r="3" spans="2:11" ht="40.049999999999997" customHeight="1" x14ac:dyDescent="0.4">
      <c r="B3" s="5" t="s">
        <v>1</v>
      </c>
    </row>
    <row r="4" spans="2:11" ht="40.049999999999997" customHeight="1" x14ac:dyDescent="0.4">
      <c r="B4" s="2" t="s">
        <v>2</v>
      </c>
      <c r="C4" s="1" t="s">
        <v>14</v>
      </c>
      <c r="D4" s="3" t="s">
        <v>17</v>
      </c>
      <c r="E4" s="1" t="s">
        <v>18</v>
      </c>
      <c r="F4" s="1" t="s">
        <v>4</v>
      </c>
      <c r="G4" s="3" t="s">
        <v>20</v>
      </c>
    </row>
    <row r="5" spans="2:11" ht="40.049999999999997" customHeight="1" x14ac:dyDescent="0.4">
      <c r="B5" s="2" t="s">
        <v>4</v>
      </c>
      <c r="D5" s="3" t="s">
        <v>23</v>
      </c>
      <c r="E5" s="1" t="s">
        <v>19</v>
      </c>
    </row>
    <row r="6" spans="2:11" ht="40.049999999999997" customHeight="1" x14ac:dyDescent="0.4">
      <c r="B6" s="2" t="s">
        <v>5</v>
      </c>
    </row>
    <row r="7" spans="2:11" ht="40.049999999999997" customHeight="1" x14ac:dyDescent="0.4">
      <c r="B7" s="2" t="s">
        <v>6</v>
      </c>
    </row>
    <row r="8" spans="2:11" ht="40.049999999999997" customHeight="1" x14ac:dyDescent="0.4">
      <c r="B8" s="4" t="s">
        <v>7</v>
      </c>
      <c r="C8" s="1" t="s">
        <v>15</v>
      </c>
      <c r="D8" s="3" t="s">
        <v>20</v>
      </c>
      <c r="E8" s="1" t="s">
        <v>22</v>
      </c>
    </row>
    <row r="9" spans="2:11" ht="40.049999999999997" customHeight="1" x14ac:dyDescent="0.4">
      <c r="B9" s="4" t="s">
        <v>8</v>
      </c>
      <c r="D9" s="1" t="s">
        <v>16</v>
      </c>
      <c r="E9" s="1" t="s">
        <v>21</v>
      </c>
    </row>
    <row r="10" spans="2:11" ht="40.049999999999997" customHeight="1" x14ac:dyDescent="0.4">
      <c r="B10" s="4" t="s">
        <v>9</v>
      </c>
    </row>
    <row r="11" spans="2:11" ht="40.049999999999997" customHeight="1" x14ac:dyDescent="0.4">
      <c r="B11" s="4" t="s">
        <v>10</v>
      </c>
    </row>
    <row r="12" spans="2:11" ht="40.049999999999997" customHeight="1" x14ac:dyDescent="0.4">
      <c r="B12" s="1" t="s">
        <v>11</v>
      </c>
      <c r="F12" s="7" t="s">
        <v>30</v>
      </c>
      <c r="K12" s="7" t="s">
        <v>31</v>
      </c>
    </row>
    <row r="13" spans="2:11" ht="40.049999999999997" customHeight="1" x14ac:dyDescent="0.4">
      <c r="B13" s="1" t="s">
        <v>12</v>
      </c>
    </row>
    <row r="14" spans="2:11" ht="40.049999999999997" customHeight="1" x14ac:dyDescent="0.4">
      <c r="B14" s="1" t="s">
        <v>13</v>
      </c>
      <c r="E14" s="8" t="s">
        <v>32</v>
      </c>
    </row>
    <row r="15" spans="2:11" ht="40.049999999999997" customHeight="1" x14ac:dyDescent="0.4">
      <c r="E15" s="1" t="s">
        <v>33</v>
      </c>
      <c r="F15" s="1" t="s">
        <v>15</v>
      </c>
    </row>
    <row r="16" spans="2:11" ht="40.049999999999997" customHeight="1" x14ac:dyDescent="0.4">
      <c r="E16" s="1" t="s">
        <v>34</v>
      </c>
    </row>
    <row r="18" spans="4:8" ht="40.049999999999997" customHeight="1" x14ac:dyDescent="0.4">
      <c r="E18" s="8" t="s">
        <v>35</v>
      </c>
    </row>
    <row r="26" spans="4:8" ht="40.049999999999997" customHeight="1" x14ac:dyDescent="0.4">
      <c r="E26" s="6" t="s">
        <v>67</v>
      </c>
      <c r="H26" s="7" t="s">
        <v>68</v>
      </c>
    </row>
    <row r="28" spans="4:8" ht="40.049999999999997" customHeight="1" x14ac:dyDescent="0.4">
      <c r="D28" s="1" t="s">
        <v>69</v>
      </c>
      <c r="E28" s="1" t="s">
        <v>25</v>
      </c>
      <c r="F28" s="1" t="s">
        <v>18</v>
      </c>
      <c r="G28" s="1" t="s">
        <v>19</v>
      </c>
      <c r="H28" s="1" t="s">
        <v>18</v>
      </c>
    </row>
    <row r="29" spans="4:8" ht="40.049999999999997" customHeight="1" x14ac:dyDescent="0.4">
      <c r="H29" s="2" t="s">
        <v>70</v>
      </c>
    </row>
    <row r="30" spans="4:8" ht="40.049999999999997" customHeight="1" x14ac:dyDescent="0.4">
      <c r="D30" s="1" t="s">
        <v>71</v>
      </c>
      <c r="E30" s="1">
        <v>1</v>
      </c>
    </row>
    <row r="31" spans="4:8" ht="40.049999999999997" customHeight="1" x14ac:dyDescent="0.4">
      <c r="D31" s="1" t="s">
        <v>72</v>
      </c>
      <c r="G31" s="1">
        <v>1</v>
      </c>
      <c r="H31" s="1">
        <v>2</v>
      </c>
    </row>
    <row r="33" spans="4:5" ht="40.049999999999997" customHeight="1" x14ac:dyDescent="0.4">
      <c r="D33" s="1" t="s">
        <v>73</v>
      </c>
      <c r="E33" s="1" t="s">
        <v>74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0181-884E-4B1A-830F-25EA0961197A}">
  <dimension ref="B2:R9"/>
  <sheetViews>
    <sheetView zoomScale="55" zoomScaleNormal="55" workbookViewId="0">
      <selection activeCell="Q5" sqref="Q5"/>
    </sheetView>
  </sheetViews>
  <sheetFormatPr defaultRowHeight="40.049999999999997" customHeight="1" x14ac:dyDescent="0.4"/>
  <cols>
    <col min="1" max="1" width="3.69921875" style="1" customWidth="1"/>
    <col min="2" max="2" width="13.69921875" style="1" customWidth="1"/>
    <col min="3" max="3" width="13.09765625" style="1" bestFit="1" customWidth="1"/>
    <col min="4" max="4" width="14.69921875" style="1" bestFit="1" customWidth="1"/>
    <col min="5" max="5" width="18.59765625" style="1" bestFit="1" customWidth="1"/>
    <col min="6" max="6" width="17.3984375" style="1" bestFit="1" customWidth="1"/>
    <col min="7" max="7" width="13.796875" style="1" customWidth="1"/>
    <col min="8" max="8" width="8.796875" style="1"/>
    <col min="9" max="9" width="29.09765625" style="1" bestFit="1" customWidth="1"/>
    <col min="10" max="10" width="10.796875" style="1" customWidth="1"/>
    <col min="11" max="11" width="11.09765625" style="1" customWidth="1"/>
    <col min="12" max="12" width="14.796875" style="1" customWidth="1"/>
    <col min="13" max="13" width="17.69921875" style="1" customWidth="1"/>
    <col min="14" max="14" width="12.59765625" style="1" customWidth="1"/>
    <col min="15" max="15" width="13.3984375" style="1" customWidth="1"/>
    <col min="16" max="16" width="11.8984375" style="1" customWidth="1"/>
    <col min="17" max="17" width="67" style="1" customWidth="1"/>
    <col min="18" max="18" width="24.5" style="1" bestFit="1" customWidth="1"/>
    <col min="19" max="16384" width="8.796875" style="1"/>
  </cols>
  <sheetData>
    <row r="2" spans="2:18" ht="40.049999999999997" customHeight="1" x14ac:dyDescent="0.4">
      <c r="B2" s="9" t="s">
        <v>66</v>
      </c>
    </row>
    <row r="3" spans="2:18" ht="40.049999999999997" customHeight="1" x14ac:dyDescent="0.4">
      <c r="B3" s="30" t="s">
        <v>50</v>
      </c>
      <c r="C3" s="12" t="s">
        <v>40</v>
      </c>
      <c r="D3" s="12" t="s">
        <v>41</v>
      </c>
      <c r="E3" s="12" t="s">
        <v>43</v>
      </c>
      <c r="F3" s="13" t="s">
        <v>56</v>
      </c>
      <c r="G3" s="28" t="s">
        <v>49</v>
      </c>
      <c r="I3" s="30" t="s">
        <v>51</v>
      </c>
      <c r="J3" s="26" t="s">
        <v>26</v>
      </c>
      <c r="K3" s="26" t="s">
        <v>27</v>
      </c>
      <c r="L3" s="26" t="s">
        <v>53</v>
      </c>
      <c r="M3" s="26" t="s">
        <v>54</v>
      </c>
      <c r="N3" s="26" t="s">
        <v>55</v>
      </c>
      <c r="O3" s="26" t="s">
        <v>60</v>
      </c>
      <c r="P3" s="26" t="s">
        <v>61</v>
      </c>
      <c r="Q3" s="26" t="s">
        <v>62</v>
      </c>
      <c r="R3" s="28" t="s">
        <v>64</v>
      </c>
    </row>
    <row r="4" spans="2:18" ht="40.049999999999997" customHeight="1" x14ac:dyDescent="0.4">
      <c r="B4" s="31"/>
      <c r="C4" s="14" t="s">
        <v>36</v>
      </c>
      <c r="D4" s="14" t="s">
        <v>37</v>
      </c>
      <c r="E4" s="14" t="s">
        <v>42</v>
      </c>
      <c r="F4" s="14" t="s">
        <v>46</v>
      </c>
      <c r="G4" s="29"/>
      <c r="I4" s="31"/>
      <c r="J4" s="27"/>
      <c r="K4" s="27"/>
      <c r="L4" s="27"/>
      <c r="M4" s="27"/>
      <c r="N4" s="27"/>
      <c r="O4" s="27"/>
      <c r="P4" s="27"/>
      <c r="Q4" s="27"/>
      <c r="R4" s="29"/>
    </row>
    <row r="5" spans="2:18" ht="40.049999999999997" customHeight="1" x14ac:dyDescent="0.4">
      <c r="B5" s="15">
        <v>1</v>
      </c>
      <c r="C5" s="10" t="s">
        <v>4</v>
      </c>
      <c r="D5" s="10" t="s">
        <v>39</v>
      </c>
      <c r="E5" s="10" t="s">
        <v>45</v>
      </c>
      <c r="F5" s="10" t="s">
        <v>48</v>
      </c>
      <c r="G5" s="16"/>
      <c r="I5" s="22" t="s">
        <v>52</v>
      </c>
      <c r="J5" s="23" t="s">
        <v>3</v>
      </c>
      <c r="K5" s="23" t="s">
        <v>38</v>
      </c>
      <c r="L5" s="23" t="s">
        <v>44</v>
      </c>
      <c r="M5" s="23" t="s">
        <v>47</v>
      </c>
      <c r="N5" s="23" t="s">
        <v>63</v>
      </c>
      <c r="O5" s="23" t="str">
        <f>IF(M5="","x","o")</f>
        <v>o</v>
      </c>
      <c r="P5" s="23" t="str">
        <f>IF(N5="","x","o")</f>
        <v>o</v>
      </c>
      <c r="Q5" s="24" t="str">
        <f>I5&amp;IF(ISERROR(FIND("?",I5)),"?","&amp;")&amp;"utm_source="&amp;J5&amp;"&amp;utm_medium="&amp;K5&amp;"&amp;utm_campaign="&amp;L5&amp;IF(O5="o","&amp;utm_content="&amp;M5,"")&amp;IF(P5="o","&amp;utm_term="&amp;N5,"")</f>
        <v>https://apple12070.cafe24.com?utm_source=google&amp;utm_medium=search&amp;utm_campaign=2025_fall_PC&amp;utm_content=product_event&amp;utm_term=musinsa</v>
      </c>
      <c r="R5" s="25" t="s">
        <v>65</v>
      </c>
    </row>
    <row r="6" spans="2:18" ht="40.049999999999997" customHeight="1" x14ac:dyDescent="0.4">
      <c r="B6" s="17">
        <v>2</v>
      </c>
      <c r="C6" s="18" t="s">
        <v>2</v>
      </c>
      <c r="D6" s="18" t="s">
        <v>58</v>
      </c>
      <c r="E6" s="18"/>
      <c r="F6" s="18"/>
      <c r="G6" s="19"/>
      <c r="I6" s="17"/>
      <c r="J6" s="18"/>
      <c r="K6" s="18"/>
      <c r="L6" s="18"/>
      <c r="M6" s="18"/>
      <c r="N6" s="18"/>
      <c r="O6" s="18"/>
      <c r="P6" s="18"/>
      <c r="Q6" s="18"/>
      <c r="R6" s="19"/>
    </row>
    <row r="7" spans="2:18" ht="40.049999999999997" customHeight="1" x14ac:dyDescent="0.4">
      <c r="B7" s="17">
        <v>3</v>
      </c>
      <c r="C7" s="18" t="s">
        <v>7</v>
      </c>
      <c r="D7" s="18" t="s">
        <v>58</v>
      </c>
      <c r="E7" s="18"/>
      <c r="F7" s="18"/>
      <c r="G7" s="19"/>
      <c r="I7" s="17"/>
      <c r="J7" s="18"/>
      <c r="K7" s="18"/>
      <c r="L7" s="18"/>
      <c r="M7" s="18"/>
      <c r="N7" s="18"/>
      <c r="O7" s="18"/>
      <c r="P7" s="18"/>
      <c r="Q7" s="18"/>
      <c r="R7" s="19"/>
    </row>
    <row r="8" spans="2:18" ht="40.049999999999997" customHeight="1" x14ac:dyDescent="0.4">
      <c r="B8" s="17">
        <v>4</v>
      </c>
      <c r="C8" s="18" t="s">
        <v>10</v>
      </c>
      <c r="D8" s="18" t="s">
        <v>59</v>
      </c>
      <c r="E8" s="18"/>
      <c r="F8" s="18"/>
      <c r="G8" s="19"/>
      <c r="I8" s="17"/>
      <c r="J8" s="18"/>
      <c r="K8" s="18"/>
      <c r="L8" s="18"/>
      <c r="M8" s="18"/>
      <c r="N8" s="18"/>
      <c r="O8" s="18"/>
      <c r="P8" s="18"/>
      <c r="Q8" s="18"/>
      <c r="R8" s="19"/>
    </row>
    <row r="9" spans="2:18" ht="40.049999999999997" customHeight="1" x14ac:dyDescent="0.4">
      <c r="B9" s="20">
        <v>5</v>
      </c>
      <c r="C9" s="11" t="s">
        <v>57</v>
      </c>
      <c r="D9" s="11" t="s">
        <v>58</v>
      </c>
      <c r="E9" s="11"/>
      <c r="F9" s="11"/>
      <c r="G9" s="21"/>
      <c r="I9" s="20"/>
      <c r="J9" s="11"/>
      <c r="K9" s="11"/>
      <c r="L9" s="11"/>
      <c r="M9" s="11"/>
      <c r="N9" s="11"/>
      <c r="O9" s="11"/>
      <c r="P9" s="11"/>
      <c r="Q9" s="11"/>
      <c r="R9" s="21"/>
    </row>
  </sheetData>
  <mergeCells count="12">
    <mergeCell ref="R3:R4"/>
    <mergeCell ref="G3:G4"/>
    <mergeCell ref="B3:B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1" type="noConversion"/>
  <dataValidations count="4">
    <dataValidation type="list" allowBlank="1" showInputMessage="1" showErrorMessage="1" sqref="J5" xr:uid="{906977BE-42C5-4E1A-9AEA-EDDD238F00E3}">
      <formula1>$C$5:$C$9</formula1>
    </dataValidation>
    <dataValidation type="list" allowBlank="1" showInputMessage="1" showErrorMessage="1" sqref="K5" xr:uid="{36A24603-161A-40BF-91E5-A9DA2FCFA799}">
      <formula1>$D$5:$D$9</formula1>
    </dataValidation>
    <dataValidation type="list" allowBlank="1" showInputMessage="1" showErrorMessage="1" sqref="L5" xr:uid="{D12800BF-7C34-4907-853A-17157CEEEFCF}">
      <formula1>$E$5</formula1>
    </dataValidation>
    <dataValidation type="list" allowBlank="1" showInputMessage="1" showErrorMessage="1" sqref="M5" xr:uid="{2730767D-9459-4E71-8294-E003DEF84A6E}">
      <formula1>$F$5</formula1>
    </dataValidation>
  </dataValidations>
  <hyperlinks>
    <hyperlink ref="I5" r:id="rId1" xr:uid="{CF85621C-817A-4211-9978-1E01A21992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0ED6-1480-499F-B69A-3E51BF387806}">
  <dimension ref="B2:B29"/>
  <sheetViews>
    <sheetView tabSelected="1" topLeftCell="A24" workbookViewId="0">
      <selection activeCell="F27" sqref="F27"/>
    </sheetView>
  </sheetViews>
  <sheetFormatPr defaultColWidth="15.69921875" defaultRowHeight="40.049999999999997" customHeight="1" x14ac:dyDescent="0.4"/>
  <sheetData>
    <row r="2" spans="2:2" ht="40.049999999999997" customHeight="1" x14ac:dyDescent="0.4">
      <c r="B2" t="s">
        <v>77</v>
      </c>
    </row>
    <row r="4" spans="2:2" ht="40.049999999999997" customHeight="1" x14ac:dyDescent="0.4">
      <c r="B4" t="s">
        <v>78</v>
      </c>
    </row>
    <row r="5" spans="2:2" ht="40.049999999999997" customHeight="1" x14ac:dyDescent="0.4">
      <c r="B5" s="32" t="s">
        <v>75</v>
      </c>
    </row>
    <row r="6" spans="2:2" ht="40.049999999999997" customHeight="1" x14ac:dyDescent="0.4">
      <c r="B6" s="32" t="s">
        <v>76</v>
      </c>
    </row>
    <row r="7" spans="2:2" ht="40.049999999999997" customHeight="1" x14ac:dyDescent="0.4">
      <c r="B7" s="32" t="s">
        <v>79</v>
      </c>
    </row>
    <row r="8" spans="2:2" ht="40.049999999999997" customHeight="1" x14ac:dyDescent="0.4">
      <c r="B8" s="32" t="s">
        <v>80</v>
      </c>
    </row>
    <row r="9" spans="2:2" ht="40.049999999999997" customHeight="1" x14ac:dyDescent="0.4">
      <c r="B9" s="32" t="s">
        <v>81</v>
      </c>
    </row>
    <row r="11" spans="2:2" ht="40.049999999999997" customHeight="1" x14ac:dyDescent="0.4">
      <c r="B11" t="s">
        <v>82</v>
      </c>
    </row>
    <row r="12" spans="2:2" ht="40.049999999999997" customHeight="1" x14ac:dyDescent="0.4">
      <c r="B12" s="32" t="s">
        <v>83</v>
      </c>
    </row>
    <row r="14" spans="2:2" ht="40.049999999999997" customHeight="1" x14ac:dyDescent="0.4">
      <c r="B14" t="s">
        <v>84</v>
      </c>
    </row>
    <row r="15" spans="2:2" ht="40.049999999999997" customHeight="1" x14ac:dyDescent="0.4">
      <c r="B15" s="32" t="s">
        <v>85</v>
      </c>
    </row>
    <row r="16" spans="2:2" ht="40.049999999999997" customHeight="1" x14ac:dyDescent="0.4">
      <c r="B16" s="32" t="s">
        <v>86</v>
      </c>
    </row>
    <row r="17" spans="2:2" ht="40.049999999999997" customHeight="1" x14ac:dyDescent="0.4">
      <c r="B17" s="32" t="s">
        <v>87</v>
      </c>
    </row>
    <row r="18" spans="2:2" ht="40.049999999999997" customHeight="1" x14ac:dyDescent="0.4">
      <c r="B18" s="32" t="s">
        <v>88</v>
      </c>
    </row>
    <row r="20" spans="2:2" ht="40.049999999999997" customHeight="1" x14ac:dyDescent="0.4">
      <c r="B20" t="s">
        <v>89</v>
      </c>
    </row>
    <row r="21" spans="2:2" ht="40.049999999999997" customHeight="1" x14ac:dyDescent="0.4">
      <c r="B21" s="32" t="s">
        <v>90</v>
      </c>
    </row>
    <row r="22" spans="2:2" ht="40.049999999999997" customHeight="1" x14ac:dyDescent="0.4">
      <c r="B22" s="32" t="s">
        <v>91</v>
      </c>
    </row>
    <row r="23" spans="2:2" ht="40.049999999999997" customHeight="1" x14ac:dyDescent="0.4">
      <c r="B23" s="32" t="s">
        <v>92</v>
      </c>
    </row>
    <row r="24" spans="2:2" ht="40.049999999999997" customHeight="1" x14ac:dyDescent="0.4">
      <c r="B24" s="32" t="s">
        <v>93</v>
      </c>
    </row>
    <row r="25" spans="2:2" ht="40.049999999999997" customHeight="1" x14ac:dyDescent="0.4">
      <c r="B25" s="32" t="s">
        <v>94</v>
      </c>
    </row>
    <row r="27" spans="2:2" ht="40.049999999999997" customHeight="1" x14ac:dyDescent="0.4">
      <c r="B27" t="s">
        <v>95</v>
      </c>
    </row>
    <row r="28" spans="2:2" ht="40.049999999999997" customHeight="1" x14ac:dyDescent="0.4">
      <c r="B28" t="s">
        <v>96</v>
      </c>
    </row>
    <row r="29" spans="2:2" ht="40.049999999999997" customHeight="1" x14ac:dyDescent="0.4">
      <c r="B29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LucSTa K</dc:creator>
  <cp:lastModifiedBy>LucSTa K</cp:lastModifiedBy>
  <dcterms:created xsi:type="dcterms:W3CDTF">2025-10-13T01:30:50Z</dcterms:created>
  <dcterms:modified xsi:type="dcterms:W3CDTF">2025-10-14T07:44:03Z</dcterms:modified>
</cp:coreProperties>
</file>